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STE\บริหาร\แผนงาน-โครงการ\2569\SUT Chem-BoT\"/>
    </mc:Choice>
  </mc:AlternateContent>
  <xr:revisionPtr revIDLastSave="0" documentId="13_ncr:1_{80D007E7-B28C-4F19-8932-F3650DCF53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Sheet1!$A$3:$G$3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7" i="1" l="1"/>
  <c r="F97" i="1"/>
  <c r="E97" i="1"/>
</calcChain>
</file>

<file path=xl/sharedStrings.xml><?xml version="1.0" encoding="utf-8"?>
<sst xmlns="http://schemas.openxmlformats.org/spreadsheetml/2006/main" count="381" uniqueCount="140">
  <si>
    <t>ความเคลื่อนไหวคลังสารเคมี</t>
  </si>
  <si>
    <t>ชื่อคลังสารเคมี</t>
  </si>
  <si>
    <t>จำนวนขวดสารเคมี</t>
  </si>
  <si>
    <t>จำนวนสารเคมี</t>
  </si>
  <si>
    <t>ปริมาณรวม (kg)</t>
  </si>
  <si>
    <t>ศูนย์เครื่องมือวิทยาศาสตร์และเทคโนโลยี</t>
  </si>
  <si>
    <t>งานกลุ่มห้องปฏิบัติการวิศวกรรมเคมีฯ</t>
  </si>
  <si>
    <t>ห้องปฏิบัติการวิศวกรรมสิ่งแวดล้อม</t>
  </si>
  <si>
    <t>ฝ่ายวิเคราะห์ด้วยเครื่องมือ</t>
  </si>
  <si>
    <t>งานวิเคราะห์ทางเคมีและชีวเคมี</t>
  </si>
  <si>
    <t>ห้องปฏิบัติการงานวิเคราะห์ทางเคมีและชีวเคมี</t>
  </si>
  <si>
    <t>ฝ่ายห้องปฏิบัติการวิทยาศาสตร์สุขภาพ</t>
  </si>
  <si>
    <t>งานห้องปฏิบัติการทันตกรรมและเวชนิทัศน์</t>
  </si>
  <si>
    <t>ห้องปฏิบัติการทางทันตกรรม</t>
  </si>
  <si>
    <t>งานกลุ่มวิศวกรรมโลหการและกระบวนการผลิต</t>
  </si>
  <si>
    <t>ห้องปฏิบัติการวิศวกรรมโลหการ</t>
  </si>
  <si>
    <t>ฝ่ายห้องปฏิบัติการวิทยาศาสตร์และเทคโนโลยีสังคม</t>
  </si>
  <si>
    <t>งานกลุ่มห้องปฏิบัติการเคมี</t>
  </si>
  <si>
    <t>ห้องปฎิบัติการเคมีพื้นฐาน F02215A</t>
  </si>
  <si>
    <t>งานกลุ่มห้องปฏิบัติการเครื่องจักรกลพื้นฐานฯ</t>
  </si>
  <si>
    <t>ห้องปฏิบัติการเครื่องจักรกลพื้นฐานฯ</t>
  </si>
  <si>
    <t>ฝ่ายห้องปฏิบัติการเทคโนโลยีการเกษตร</t>
  </si>
  <si>
    <t>งานกลุ่มห้องปฏิบัติการเทคโนโลยีอาหาร</t>
  </si>
  <si>
    <t>ห้องปฏิบัติการเคมีอาหาร</t>
  </si>
  <si>
    <t>ห้องปฏิบัติการเคมี F02213A</t>
  </si>
  <si>
    <t>งานกลุ่มห้องปฏิบัติการเทคโนโลยีการผลิตสัตว์</t>
  </si>
  <si>
    <t>ห้องปฏิบัติการกลาง 2</t>
  </si>
  <si>
    <t>ห้องปฏิบัติการสรีรวิทยาและกายวิภาคศาสตร์สัตว์</t>
  </si>
  <si>
    <t>งานกลุ่มห้องปฏิบัติการชีววิทยา</t>
  </si>
  <si>
    <t>ห้องปฏิบัติการจุลชีววิทยา</t>
  </si>
  <si>
    <t>ห้องปฏิบัติการเคมี F02113A</t>
  </si>
  <si>
    <t>ห้องปฏิบัติการเคมีเชิงฟิสิกส์</t>
  </si>
  <si>
    <t>ห้องปฏิบัติการเคมี F02111A</t>
  </si>
  <si>
    <t>ห้องปฏิบัติการจุลชีววิทยาอาหาร</t>
  </si>
  <si>
    <t>งานกลุ่มห้องปฎิบัติการอนามัยสิ่งแวดล้อม</t>
  </si>
  <si>
    <t>ห้องปฏิบัติการอนามัยสิ่งแวดล้อม</t>
  </si>
  <si>
    <t>งานกลุ่มห้องปฏิบัติการเทคโนโลยีการผลิตพืช</t>
  </si>
  <si>
    <t>ห้องปฏิบัติการสรีรวิทยาพืช</t>
  </si>
  <si>
    <t>ห้องปฏิบัติการสาธารณสุขศาสตร์​</t>
  </si>
  <si>
    <t>ห้องปฏิบัติการเคมีวิเคราะห์อาหาร</t>
  </si>
  <si>
    <t>ห้องปฏิบัติการปฐพีวิทยา</t>
  </si>
  <si>
    <t>ฝ่ายบริการสัตว์ทดลองเพื่องานทางวิทยาศาสตร์</t>
  </si>
  <si>
    <t>อาคารสัตว์ทดลองเพื่องานทางวิทยาศาสตร์</t>
  </si>
  <si>
    <t>ห้องปฏิบัติการชีววิทยาพืช</t>
  </si>
  <si>
    <t>ห้องปฏิบัติการโรคพืชวิทยา</t>
  </si>
  <si>
    <t>ห้องปฏิบัติการชีววิทยาพื้นฐาน</t>
  </si>
  <si>
    <t>งานกลุ่มห้องปฏิบัติการทางการแพทย์ 1</t>
  </si>
  <si>
    <t>ห้องปฏิบัติการพัฒนาทักษะทางคลินิกสุขภาพช่องปากจำลอง</t>
  </si>
  <si>
    <t>ห้องปฏิบัติการวิศวกรรมเคมี</t>
  </si>
  <si>
    <t>ห้องปฏิบัติการเคมี F02115A</t>
  </si>
  <si>
    <t>งานกลุ่มห้องปฏิบัติการวิศวกรรมเครื่องกลฯ</t>
  </si>
  <si>
    <t>ห้องปฏิบัติการวิศวกรรมเกษตร</t>
  </si>
  <si>
    <t>งานกลุ่มห้องปฏิบัติการโยธาและขนส่ง</t>
  </si>
  <si>
    <t>ห้องปฏิบัติการการทาง</t>
  </si>
  <si>
    <t>งานกลุ่มห้องปฏิบัติการวิศกรรมพอลิเมอร์</t>
  </si>
  <si>
    <t>ห้องปฏิบัติการวิศวกรรมพอลิเมอร์(F04110A)</t>
  </si>
  <si>
    <t>งานวิเคราะห์ด้วยกล้องจุลทรรศน์</t>
  </si>
  <si>
    <t>ห้องปฏิบัติการงานวิเคราะห์ด้วยกล้องจุลทรรศน์</t>
  </si>
  <si>
    <t>ห้องปฏิบัติการชีววิทยาระดับชีวโมเลกุล</t>
  </si>
  <si>
    <t>งานกลุ่มห้องปฏิบัติการชีวเคมี</t>
  </si>
  <si>
    <t>ห้องปฏิบัติการชีวเคมี</t>
  </si>
  <si>
    <t>งานกลุ่มห้องปฏิบัติการเทคโนโลยีธรณีและเซรามิก</t>
  </si>
  <si>
    <t>ห้องเก็บวัสดุ/สารเคมี</t>
  </si>
  <si>
    <t>ห้องปฏิบัติการจุลชีววิทยาทางการแพทย์</t>
  </si>
  <si>
    <t>งานวิเคราะห์ทางจุลชีววิทยา</t>
  </si>
  <si>
    <t>ห้องปฏิบัติการเคมีวิเคราะห์ F02212A</t>
  </si>
  <si>
    <t>งานกลุ่มห้องปฏิบัติการทางการแพทย์ 2</t>
  </si>
  <si>
    <t>ห้องปฏิบัติการประสาท กายวิภาคศาสตร์</t>
  </si>
  <si>
    <t>ห้องปฏิบัติการชีววิทยาทางสัตว์ 1</t>
  </si>
  <si>
    <t>ห้องปฏิบัติการหุ่นยนต์อุตสาหกรรม</t>
  </si>
  <si>
    <t>งานทดสอบทางกายภาพ</t>
  </si>
  <si>
    <t>งานสรีรวิทยาทางการแพทย์</t>
  </si>
  <si>
    <t>ห้องปฏิบัติการสรีรวิทยาทางการแพทย์</t>
  </si>
  <si>
    <t>ห้องปฏิบัติการวิศวกรรมโพลิเมอร์(F05201A)</t>
  </si>
  <si>
    <t>ห้องปฏิบัติการเคมีวิเคราะห์ F02106A</t>
  </si>
  <si>
    <t>ห้องปฏิบัติการเคมีอินทรีย์</t>
  </si>
  <si>
    <t>ห้องปฏิบัติการโภชนศาสตร์สัตว์</t>
  </si>
  <si>
    <t>กลุ่มงานห้องปฏิบัติการวิศวกรรมเครื่องกลฯ</t>
  </si>
  <si>
    <t>ห้องปฏิบัติการแมคคาทรอนิกส์</t>
  </si>
  <si>
    <t>งานกลุ่มห้องปฏิบัติการชีวอนามัยและความปลอดภัย</t>
  </si>
  <si>
    <t>ห้องปฏิบัติการชีวอนามัยและความปลอดภัย</t>
  </si>
  <si>
    <t>ห้องปฏิบัติการพยาธิและปรสิตวิทยา1</t>
  </si>
  <si>
    <t>ปฏิบัติการทักษะทางการพยาบาล</t>
  </si>
  <si>
    <t>งานกลุ่มห้องปฏิบัติการวิศวกรรมไฟฟ้า</t>
  </si>
  <si>
    <t>ห้องปฏิบัติการโครงงานและงานวิจัย2</t>
  </si>
  <si>
    <t>ห้องปฏิบัติการโครงงานและงานวิจัย1</t>
  </si>
  <si>
    <t>งานวิเคราะห์น้ำ</t>
  </si>
  <si>
    <t>ห้องปฏิบัติการชีวโมเลกุลพืช</t>
  </si>
  <si>
    <t>ห้องปฏิบัติการบัณฑิตปรับปรุงพันธุ์พืช</t>
  </si>
  <si>
    <t>ห้องเตรียมเครื่องมือ</t>
  </si>
  <si>
    <t>Rock Properties and Drilling Fluid Lab</t>
  </si>
  <si>
    <t>ห้องปฏิบัติการเคมี F02116A</t>
  </si>
  <si>
    <t>ห้องปฏิบัติการเภสัชวิทยาทางการแพทย์</t>
  </si>
  <si>
    <t>ห้องปฏิบัติการเคมี F02120A</t>
  </si>
  <si>
    <t>ห้องปฏิบัติการสรีรวิทยาทางการแพทย์ 1</t>
  </si>
  <si>
    <t>ฝ่ายพัฒนาและปรับปรุงห้องปฏิบัติการ</t>
  </si>
  <si>
    <t>งานพัฒนาเครื่องมือและสิ่งประดิษฐ์</t>
  </si>
  <si>
    <t>โรงเครื่องมือกล</t>
  </si>
  <si>
    <t>งานกลุ่มห้องปฏิบัติการเทคโนโลยีชีวภาพ</t>
  </si>
  <si>
    <t>ห้องปฏิบัติการกลางเทคโนโลยีชีวภาพ</t>
  </si>
  <si>
    <t>ห้องปฏิบัติการทางรังสีวิทยา</t>
  </si>
  <si>
    <t>ห้องปฏิบัติการจุลินทรีย์ดินประยุกต์</t>
  </si>
  <si>
    <t>สรีรวิทยาทางการแพทย์4</t>
  </si>
  <si>
    <t>ห้องปฏิบัติการชีววิทยาทางสัตว์ 2</t>
  </si>
  <si>
    <t>ห้องปฏิบัติการอณูชีววิทยา</t>
  </si>
  <si>
    <t>ห้องวิจัยชีววิทยา</t>
  </si>
  <si>
    <t>ห้องปฏิบัติการกีฏวิทยา</t>
  </si>
  <si>
    <t>ห้องปฏิบัติการเวชนิทัศน์</t>
  </si>
  <si>
    <t>ห้องปฏิบัติการเตรียมอาหารเลี้ยงเชื้อ</t>
  </si>
  <si>
    <t>ห้องปฏิบัติการหมัก</t>
  </si>
  <si>
    <t>ห้องปฏิบัติการกายวิภาคศาสตร์ 1</t>
  </si>
  <si>
    <t>ห้องปฏิบัติการวิเคราะห์ทางพันธุกรรม</t>
  </si>
  <si>
    <t>ห้องปฏิบัติการวิเคราะห์ไนโตรเจน</t>
  </si>
  <si>
    <t>ห้องวิจัยชีวเคมี-เคมีไฟฟ้า</t>
  </si>
  <si>
    <t>ห้องปฏิบัติการวิเคราะห์ทางจุลชิววิทยา</t>
  </si>
  <si>
    <t>ห้องปฏิบัติการวิศวกรรมโปรตีน</t>
  </si>
  <si>
    <t>ห้องปฏิบัติการโคลนนิ่ง ( Cloning)</t>
  </si>
  <si>
    <t>ห้องปฏิบัติการเทคโนโลยีชีวภาพระดับนาโน</t>
  </si>
  <si>
    <t>งานซ่อมบำรุงเครื่องมือ</t>
  </si>
  <si>
    <t>ห้องปฏิบัติการเคมี F02114A</t>
  </si>
  <si>
    <t>อนุรักษ์พันธุกรรมพืช</t>
  </si>
  <si>
    <t>ห้องผลิตหุ่นจำลองทางวิทยาศาสตร์</t>
  </si>
  <si>
    <t>ห้องปฏิบัติการวิจัยทางอาหาร</t>
  </si>
  <si>
    <t>ห้องปฏิบัติการวิศวกรรมกระบวนการชีวภาพ</t>
  </si>
  <si>
    <t>ห้องปฏิบัติการเพาะเลี้ยงเซลล์</t>
  </si>
  <si>
    <t>ฝ่ายสนับสนุนโครงการวิจัยฯ</t>
  </si>
  <si>
    <t>งานความปลอดภัยและสิ่งแวดล้อมห้องปฏิบัติการ</t>
  </si>
  <si>
    <t>ห้องปฏิบัติการเตรียมตัวอย่าง 4</t>
  </si>
  <si>
    <t>ฝ่ายบริหารงานทั่วไป</t>
  </si>
  <si>
    <t>สำนักงานบริหารงานทั่วไป</t>
  </si>
  <si>
    <t>ห้องปฏิบัติการ Skillslab</t>
  </si>
  <si>
    <t>รวมทั้งสิ้น:</t>
  </si>
  <si>
    <t>ฝ่ายห้องปฏิบัติการวิศวกรรม</t>
  </si>
  <si>
    <t>งานกลุ่มห้องปฏิบัติการวิศวกรรมอุตสาหการ</t>
  </si>
  <si>
    <t>งานจัดซื้อวัสดุ อุปกรณ์ ครุภัณฑ์</t>
  </si>
  <si>
    <t>งานผลิตและเลี้ยงสัตว์เพื่องานทางวิทยาศาสตร์</t>
  </si>
  <si>
    <t>ศูนย์, สำนักวิชา</t>
  </si>
  <si>
    <t>ฝ่าย, สาขาวิชา</t>
  </si>
  <si>
    <t>งาน</t>
  </si>
  <si>
    <t>งานควบคุมคุณภาพ สุขภาพสัตว์และตรวจวิเคราะห์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</si>
</sst>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b/>
      <u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 applyAlignment="1">
      <alignment vertical="center"/>
    </xf>
    <xf numFmtId="1" fontId="1" fillId="0" borderId="0" xfId="0" applyNumberFormat="1" applyFont="1" applyAlignment="1">
      <alignment horizontal="right" vertical="center"/>
    </xf>
    <xf numFmtId="1" fontId="1" fillId="0" borderId="1" xfId="0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3" fontId="2" fillId="0" borderId="0" xfId="0" applyNumberFormat="1" applyFont="1"/>
    <xf numFmtId="4" fontId="2" fillId="0" borderId="0" xfId="0" applyNumberFormat="1" applyFont="1"/>
    <xf numFmtId="1" fontId="2" fillId="0" borderId="0" xfId="0" applyNumberFormat="1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"/>
  <sheetViews>
    <sheetView tabSelected="1" topLeftCell="A67" workbookViewId="0">
      <selection activeCell="O89" sqref="O89"/>
    </sheetView>
  </sheetViews>
  <sheetFormatPr defaultRowHeight="16.5" x14ac:dyDescent="0.25"/>
  <cols>
    <col min="1" max="1" width="37.42578125" customWidth="1"/>
    <col min="2" max="2" width="46.42578125" customWidth="1"/>
    <col min="3" max="3" width="46.5703125" customWidth="1"/>
    <col min="4" max="4" width="53.28515625" hidden="1" customWidth="1"/>
    <col min="5" max="5" width="19.7109375" hidden="1" customWidth="1"/>
    <col min="6" max="6" width="15.85546875" hidden="1" customWidth="1"/>
    <col min="7" max="7" width="17.140625" hidden="1" customWidth="1"/>
    <col min="8" max="10" width="0" hidden="1" customWidth="1"/>
  </cols>
  <sheetData>
    <row r="1" spans="1:10" ht="15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pans="1:10" ht="15" x14ac:dyDescent="0.25"/>
    <row r="3" spans="1:10" ht="15" x14ac:dyDescent="0.25">
      <c r="A3" s="3" t="s">
        <v>136</v>
      </c>
      <c r="B3" s="3" t="s">
        <v>137</v>
      </c>
      <c r="C3" s="3" t="s">
        <v>138</v>
      </c>
      <c r="D3" s="3" t="s">
        <v>1</v>
      </c>
      <c r="E3" s="3" t="s">
        <v>2</v>
      </c>
      <c r="F3" s="3" t="s">
        <v>3</v>
      </c>
      <c r="G3" s="3" t="s">
        <v>4</v>
      </c>
    </row>
    <row r="4" spans="1:10" ht="15" x14ac:dyDescent="0.25">
      <c r="A4" s="1" t="s">
        <v>5</v>
      </c>
      <c r="B4" s="1" t="s">
        <v>41</v>
      </c>
      <c r="C4" s="1" t="s">
        <v>135</v>
      </c>
      <c r="D4" s="1" t="s">
        <v>42</v>
      </c>
      <c r="E4" s="4">
        <v>22</v>
      </c>
      <c r="F4" s="4">
        <v>4</v>
      </c>
      <c r="G4" s="5">
        <v>114.5</v>
      </c>
    </row>
    <row r="5" spans="1:10" ht="15" x14ac:dyDescent="0.25">
      <c r="A5" s="1" t="s">
        <v>5</v>
      </c>
      <c r="B5" s="1" t="s">
        <v>41</v>
      </c>
      <c r="C5" s="1" t="s">
        <v>139</v>
      </c>
      <c r="D5" s="1" t="s">
        <v>42</v>
      </c>
      <c r="E5" s="4">
        <v>22</v>
      </c>
      <c r="F5" s="4">
        <v>4</v>
      </c>
      <c r="G5" s="5">
        <v>114.5</v>
      </c>
    </row>
    <row r="6" spans="1:10" ht="15" x14ac:dyDescent="0.25">
      <c r="A6" s="1" t="s">
        <v>5</v>
      </c>
      <c r="B6" s="1" t="s">
        <v>128</v>
      </c>
      <c r="C6" s="1" t="s">
        <v>134</v>
      </c>
      <c r="D6" s="1" t="s">
        <v>129</v>
      </c>
      <c r="E6" s="4">
        <v>0</v>
      </c>
      <c r="F6" s="4">
        <v>0</v>
      </c>
      <c r="G6" s="5">
        <v>0</v>
      </c>
    </row>
    <row r="7" spans="1:10" ht="15" x14ac:dyDescent="0.25">
      <c r="A7" s="1" t="s">
        <v>5</v>
      </c>
      <c r="B7" s="1" t="s">
        <v>95</v>
      </c>
      <c r="C7" s="1" t="s">
        <v>96</v>
      </c>
      <c r="D7" s="1" t="s">
        <v>97</v>
      </c>
      <c r="E7" s="4">
        <v>1</v>
      </c>
      <c r="F7" s="4">
        <v>1</v>
      </c>
      <c r="G7" s="5">
        <v>6</v>
      </c>
    </row>
    <row r="8" spans="1:10" ht="15" x14ac:dyDescent="0.25">
      <c r="A8" s="1" t="s">
        <v>5</v>
      </c>
      <c r="B8" s="1" t="s">
        <v>95</v>
      </c>
      <c r="C8" s="1" t="s">
        <v>118</v>
      </c>
      <c r="D8" s="1" t="s">
        <v>118</v>
      </c>
      <c r="E8" s="4">
        <v>0</v>
      </c>
      <c r="F8" s="4">
        <v>0</v>
      </c>
      <c r="G8" s="5">
        <v>0</v>
      </c>
    </row>
    <row r="9" spans="1:10" ht="15" x14ac:dyDescent="0.25">
      <c r="A9" s="1" t="s">
        <v>5</v>
      </c>
      <c r="B9" s="1" t="s">
        <v>8</v>
      </c>
      <c r="C9" s="1" t="s">
        <v>9</v>
      </c>
      <c r="D9" s="1" t="s">
        <v>10</v>
      </c>
      <c r="E9" s="4">
        <v>335</v>
      </c>
      <c r="F9" s="4">
        <v>172</v>
      </c>
      <c r="G9" s="5">
        <v>584.73600000000101</v>
      </c>
    </row>
    <row r="10" spans="1:10" ht="15" x14ac:dyDescent="0.25">
      <c r="A10" s="1" t="s">
        <v>5</v>
      </c>
      <c r="B10" s="1" t="s">
        <v>8</v>
      </c>
      <c r="C10" s="1" t="s">
        <v>56</v>
      </c>
      <c r="D10" s="1" t="s">
        <v>57</v>
      </c>
      <c r="E10" s="4">
        <v>21</v>
      </c>
      <c r="F10" s="4">
        <v>11</v>
      </c>
      <c r="G10" s="5">
        <v>95.79</v>
      </c>
    </row>
    <row r="11" spans="1:10" ht="15" x14ac:dyDescent="0.25">
      <c r="A11" s="1" t="s">
        <v>5</v>
      </c>
      <c r="B11" s="1" t="s">
        <v>8</v>
      </c>
      <c r="C11" s="1" t="s">
        <v>64</v>
      </c>
      <c r="D11" s="1" t="s">
        <v>64</v>
      </c>
      <c r="E11" s="4">
        <v>176</v>
      </c>
      <c r="F11" s="4">
        <v>113</v>
      </c>
      <c r="G11" s="5">
        <v>79.115099999999998</v>
      </c>
    </row>
    <row r="12" spans="1:10" ht="15" x14ac:dyDescent="0.25">
      <c r="A12" s="1" t="s">
        <v>5</v>
      </c>
      <c r="B12" s="1" t="s">
        <v>8</v>
      </c>
      <c r="C12" s="1" t="s">
        <v>70</v>
      </c>
      <c r="D12" s="1" t="s">
        <v>70</v>
      </c>
      <c r="E12" s="4">
        <v>8</v>
      </c>
      <c r="F12" s="4">
        <v>7</v>
      </c>
      <c r="G12" s="5">
        <v>72.084999999999994</v>
      </c>
    </row>
    <row r="13" spans="1:10" ht="15" x14ac:dyDescent="0.25">
      <c r="A13" s="1" t="s">
        <v>5</v>
      </c>
      <c r="B13" s="1" t="s">
        <v>8</v>
      </c>
      <c r="C13" s="1" t="s">
        <v>86</v>
      </c>
      <c r="D13" s="1" t="s">
        <v>86</v>
      </c>
      <c r="E13" s="4">
        <v>60</v>
      </c>
      <c r="F13" s="4">
        <v>49</v>
      </c>
      <c r="G13" s="5">
        <v>24.38</v>
      </c>
    </row>
    <row r="14" spans="1:10" ht="15" x14ac:dyDescent="0.25">
      <c r="A14" s="1" t="s">
        <v>5</v>
      </c>
      <c r="B14" s="1" t="s">
        <v>8</v>
      </c>
      <c r="C14" s="1" t="s">
        <v>64</v>
      </c>
      <c r="D14" s="1" t="s">
        <v>108</v>
      </c>
      <c r="E14" s="4">
        <v>0</v>
      </c>
      <c r="F14" s="4">
        <v>0</v>
      </c>
      <c r="G14" s="5">
        <v>0</v>
      </c>
    </row>
    <row r="15" spans="1:10" ht="15" x14ac:dyDescent="0.25">
      <c r="A15" s="1" t="s">
        <v>5</v>
      </c>
      <c r="B15" s="1" t="s">
        <v>8</v>
      </c>
      <c r="C15" s="1" t="s">
        <v>64</v>
      </c>
      <c r="D15" s="1" t="s">
        <v>111</v>
      </c>
      <c r="E15" s="4">
        <v>0</v>
      </c>
      <c r="F15" s="4">
        <v>0</v>
      </c>
      <c r="G15" s="5">
        <v>0</v>
      </c>
    </row>
    <row r="16" spans="1:10" ht="15" x14ac:dyDescent="0.25">
      <c r="A16" s="1" t="s">
        <v>5</v>
      </c>
      <c r="B16" s="1" t="s">
        <v>8</v>
      </c>
      <c r="C16" s="1" t="s">
        <v>86</v>
      </c>
      <c r="D16" s="1" t="s">
        <v>112</v>
      </c>
      <c r="E16" s="4">
        <v>0</v>
      </c>
      <c r="F16" s="4">
        <v>0</v>
      </c>
      <c r="G16" s="5">
        <v>0</v>
      </c>
    </row>
    <row r="17" spans="1:7" ht="15" x14ac:dyDescent="0.25">
      <c r="A17" s="1" t="s">
        <v>5</v>
      </c>
      <c r="B17" s="1" t="s">
        <v>8</v>
      </c>
      <c r="C17" s="1" t="s">
        <v>64</v>
      </c>
      <c r="D17" s="1" t="s">
        <v>114</v>
      </c>
      <c r="E17" s="4">
        <v>0</v>
      </c>
      <c r="F17" s="4">
        <v>0</v>
      </c>
      <c r="G17" s="5">
        <v>0</v>
      </c>
    </row>
    <row r="18" spans="1:7" ht="15" x14ac:dyDescent="0.25">
      <c r="A18" s="1" t="s">
        <v>5</v>
      </c>
      <c r="B18" s="1" t="s">
        <v>8</v>
      </c>
      <c r="C18" s="1" t="s">
        <v>9</v>
      </c>
      <c r="D18" s="1" t="s">
        <v>127</v>
      </c>
      <c r="E18" s="4">
        <v>0</v>
      </c>
      <c r="F18" s="4">
        <v>0</v>
      </c>
      <c r="G18" s="5">
        <v>0</v>
      </c>
    </row>
    <row r="19" spans="1:7" ht="15" x14ac:dyDescent="0.25">
      <c r="A19" s="1" t="s">
        <v>5</v>
      </c>
      <c r="B19" s="1" t="s">
        <v>125</v>
      </c>
      <c r="C19" s="1" t="s">
        <v>126</v>
      </c>
      <c r="D19" s="1" t="s">
        <v>126</v>
      </c>
      <c r="E19" s="4">
        <v>0</v>
      </c>
      <c r="F19" s="4">
        <v>0</v>
      </c>
      <c r="G19" s="5">
        <v>0</v>
      </c>
    </row>
    <row r="20" spans="1:7" ht="15" x14ac:dyDescent="0.25">
      <c r="A20" s="1" t="s">
        <v>5</v>
      </c>
      <c r="B20" s="1" t="s">
        <v>21</v>
      </c>
      <c r="C20" s="1" t="s">
        <v>22</v>
      </c>
      <c r="D20" s="1" t="s">
        <v>23</v>
      </c>
      <c r="E20" s="4">
        <v>109</v>
      </c>
      <c r="F20" s="4">
        <v>49</v>
      </c>
      <c r="G20" s="5">
        <v>315.51350000000002</v>
      </c>
    </row>
    <row r="21" spans="1:7" ht="15" x14ac:dyDescent="0.25">
      <c r="A21" s="1" t="s">
        <v>5</v>
      </c>
      <c r="B21" s="1" t="s">
        <v>21</v>
      </c>
      <c r="C21" s="1" t="s">
        <v>25</v>
      </c>
      <c r="D21" s="1" t="s">
        <v>26</v>
      </c>
      <c r="E21" s="4">
        <v>14</v>
      </c>
      <c r="F21" s="4">
        <v>5</v>
      </c>
      <c r="G21" s="5">
        <v>258.2</v>
      </c>
    </row>
    <row r="22" spans="1:7" ht="15" x14ac:dyDescent="0.25">
      <c r="A22" s="1" t="s">
        <v>5</v>
      </c>
      <c r="B22" s="1" t="s">
        <v>21</v>
      </c>
      <c r="C22" s="1" t="s">
        <v>25</v>
      </c>
      <c r="D22" s="1" t="s">
        <v>27</v>
      </c>
      <c r="E22" s="4">
        <v>49</v>
      </c>
      <c r="F22" s="4">
        <v>23</v>
      </c>
      <c r="G22" s="5">
        <v>187.30170004999999</v>
      </c>
    </row>
    <row r="23" spans="1:7" ht="15" x14ac:dyDescent="0.25">
      <c r="A23" s="1" t="s">
        <v>5</v>
      </c>
      <c r="B23" s="1" t="s">
        <v>21</v>
      </c>
      <c r="C23" s="1" t="s">
        <v>22</v>
      </c>
      <c r="D23" s="1" t="s">
        <v>33</v>
      </c>
      <c r="E23" s="4">
        <v>105</v>
      </c>
      <c r="F23" s="4">
        <v>52</v>
      </c>
      <c r="G23" s="5">
        <v>153.785</v>
      </c>
    </row>
    <row r="24" spans="1:7" ht="15" x14ac:dyDescent="0.25">
      <c r="A24" s="1" t="s">
        <v>5</v>
      </c>
      <c r="B24" s="1" t="s">
        <v>21</v>
      </c>
      <c r="C24" s="1" t="s">
        <v>36</v>
      </c>
      <c r="D24" s="1" t="s">
        <v>37</v>
      </c>
      <c r="E24" s="4">
        <v>35</v>
      </c>
      <c r="F24" s="4">
        <v>12</v>
      </c>
      <c r="G24" s="5">
        <v>139.405</v>
      </c>
    </row>
    <row r="25" spans="1:7" ht="15" x14ac:dyDescent="0.25">
      <c r="A25" s="1" t="s">
        <v>5</v>
      </c>
      <c r="B25" s="1" t="s">
        <v>21</v>
      </c>
      <c r="C25" s="1" t="s">
        <v>22</v>
      </c>
      <c r="D25" s="1" t="s">
        <v>39</v>
      </c>
      <c r="E25" s="4">
        <v>56</v>
      </c>
      <c r="F25" s="4">
        <v>34</v>
      </c>
      <c r="G25" s="5">
        <v>125.08</v>
      </c>
    </row>
    <row r="26" spans="1:7" ht="15" x14ac:dyDescent="0.25">
      <c r="A26" s="1" t="s">
        <v>5</v>
      </c>
      <c r="B26" s="1" t="s">
        <v>21</v>
      </c>
      <c r="C26" s="1" t="s">
        <v>36</v>
      </c>
      <c r="D26" s="1" t="s">
        <v>40</v>
      </c>
      <c r="E26" s="4">
        <v>72</v>
      </c>
      <c r="F26" s="4">
        <v>47</v>
      </c>
      <c r="G26" s="5">
        <v>114.92100000000001</v>
      </c>
    </row>
    <row r="27" spans="1:7" ht="15" x14ac:dyDescent="0.25">
      <c r="A27" s="1" t="s">
        <v>5</v>
      </c>
      <c r="B27" s="1" t="s">
        <v>21</v>
      </c>
      <c r="C27" s="1" t="s">
        <v>36</v>
      </c>
      <c r="D27" s="1" t="s">
        <v>44</v>
      </c>
      <c r="E27" s="4">
        <v>155</v>
      </c>
      <c r="F27" s="4">
        <v>106</v>
      </c>
      <c r="G27" s="5">
        <v>111.2291</v>
      </c>
    </row>
    <row r="28" spans="1:7" ht="15" x14ac:dyDescent="0.25">
      <c r="A28" s="1" t="s">
        <v>5</v>
      </c>
      <c r="B28" s="1" t="s">
        <v>21</v>
      </c>
      <c r="C28" s="1" t="s">
        <v>25</v>
      </c>
      <c r="D28" s="1" t="s">
        <v>76</v>
      </c>
      <c r="E28" s="4">
        <v>54</v>
      </c>
      <c r="F28" s="4">
        <v>26</v>
      </c>
      <c r="G28" s="5">
        <v>53.984999999999999</v>
      </c>
    </row>
    <row r="29" spans="1:7" ht="15" x14ac:dyDescent="0.25">
      <c r="A29" s="1" t="s">
        <v>5</v>
      </c>
      <c r="B29" s="1" t="s">
        <v>21</v>
      </c>
      <c r="C29" s="1" t="s">
        <v>36</v>
      </c>
      <c r="D29" s="1" t="s">
        <v>87</v>
      </c>
      <c r="E29" s="4">
        <v>56</v>
      </c>
      <c r="F29" s="4">
        <v>49</v>
      </c>
      <c r="G29" s="5">
        <v>22.452023000000001</v>
      </c>
    </row>
    <row r="30" spans="1:7" ht="15" x14ac:dyDescent="0.25">
      <c r="A30" s="1" t="s">
        <v>5</v>
      </c>
      <c r="B30" s="1" t="s">
        <v>21</v>
      </c>
      <c r="C30" s="1" t="s">
        <v>36</v>
      </c>
      <c r="D30" s="1" t="s">
        <v>88</v>
      </c>
      <c r="E30" s="4">
        <v>14</v>
      </c>
      <c r="F30" s="4">
        <v>13</v>
      </c>
      <c r="G30" s="5">
        <v>21.298999999999999</v>
      </c>
    </row>
    <row r="31" spans="1:7" ht="15" x14ac:dyDescent="0.25">
      <c r="A31" s="1" t="s">
        <v>5</v>
      </c>
      <c r="B31" s="1" t="s">
        <v>21</v>
      </c>
      <c r="C31" s="1" t="s">
        <v>98</v>
      </c>
      <c r="D31" s="1" t="s">
        <v>99</v>
      </c>
      <c r="E31" s="4">
        <v>21</v>
      </c>
      <c r="F31" s="4">
        <v>20</v>
      </c>
      <c r="G31" s="5">
        <v>5.46</v>
      </c>
    </row>
    <row r="32" spans="1:7" ht="15" x14ac:dyDescent="0.25">
      <c r="A32" s="1" t="s">
        <v>5</v>
      </c>
      <c r="B32" s="1" t="s">
        <v>21</v>
      </c>
      <c r="C32" s="1" t="s">
        <v>98</v>
      </c>
      <c r="D32" s="1" t="s">
        <v>101</v>
      </c>
      <c r="E32" s="4">
        <v>23</v>
      </c>
      <c r="F32" s="4">
        <v>21</v>
      </c>
      <c r="G32" s="5">
        <v>3.5630500000000001</v>
      </c>
    </row>
    <row r="33" spans="1:7" ht="15" x14ac:dyDescent="0.25">
      <c r="A33" s="1" t="s">
        <v>5</v>
      </c>
      <c r="B33" s="1" t="s">
        <v>21</v>
      </c>
      <c r="C33" s="1" t="s">
        <v>98</v>
      </c>
      <c r="D33" s="1" t="s">
        <v>104</v>
      </c>
      <c r="E33" s="4">
        <v>4</v>
      </c>
      <c r="F33" s="4">
        <v>3</v>
      </c>
      <c r="G33" s="5">
        <v>0.4</v>
      </c>
    </row>
    <row r="34" spans="1:7" ht="15" x14ac:dyDescent="0.25">
      <c r="A34" s="1" t="s">
        <v>5</v>
      </c>
      <c r="B34" s="1" t="s">
        <v>21</v>
      </c>
      <c r="C34" s="1" t="s">
        <v>36</v>
      </c>
      <c r="D34" s="1" t="s">
        <v>106</v>
      </c>
      <c r="E34" s="4">
        <v>0</v>
      </c>
      <c r="F34" s="4">
        <v>0</v>
      </c>
      <c r="G34" s="5">
        <v>0</v>
      </c>
    </row>
    <row r="35" spans="1:7" ht="15" x14ac:dyDescent="0.25">
      <c r="A35" s="1" t="s">
        <v>5</v>
      </c>
      <c r="B35" s="1" t="s">
        <v>21</v>
      </c>
      <c r="C35" s="1" t="s">
        <v>98</v>
      </c>
      <c r="D35" s="1" t="s">
        <v>109</v>
      </c>
      <c r="E35" s="4">
        <v>0</v>
      </c>
      <c r="F35" s="4">
        <v>0</v>
      </c>
      <c r="G35" s="5">
        <v>0</v>
      </c>
    </row>
    <row r="36" spans="1:7" ht="15" x14ac:dyDescent="0.25">
      <c r="A36" s="1" t="s">
        <v>5</v>
      </c>
      <c r="B36" s="1" t="s">
        <v>21</v>
      </c>
      <c r="C36" s="1" t="s">
        <v>98</v>
      </c>
      <c r="D36" s="1" t="s">
        <v>115</v>
      </c>
      <c r="E36" s="4">
        <v>0</v>
      </c>
      <c r="F36" s="4">
        <v>0</v>
      </c>
      <c r="G36" s="5">
        <v>0</v>
      </c>
    </row>
    <row r="37" spans="1:7" ht="15" x14ac:dyDescent="0.25">
      <c r="A37" s="1" t="s">
        <v>5</v>
      </c>
      <c r="B37" s="1" t="s">
        <v>21</v>
      </c>
      <c r="C37" s="1" t="s">
        <v>98</v>
      </c>
      <c r="D37" s="1" t="s">
        <v>116</v>
      </c>
      <c r="E37" s="4">
        <v>0</v>
      </c>
      <c r="F37" s="4">
        <v>0</v>
      </c>
      <c r="G37" s="5">
        <v>0</v>
      </c>
    </row>
    <row r="38" spans="1:7" ht="15" x14ac:dyDescent="0.25">
      <c r="A38" s="1" t="s">
        <v>5</v>
      </c>
      <c r="B38" s="1" t="s">
        <v>21</v>
      </c>
      <c r="C38" s="1" t="s">
        <v>98</v>
      </c>
      <c r="D38" s="1" t="s">
        <v>117</v>
      </c>
      <c r="E38" s="4">
        <v>0</v>
      </c>
      <c r="F38" s="4">
        <v>0</v>
      </c>
      <c r="G38" s="5">
        <v>0</v>
      </c>
    </row>
    <row r="39" spans="1:7" ht="15" x14ac:dyDescent="0.25">
      <c r="A39" s="1" t="s">
        <v>5</v>
      </c>
      <c r="B39" s="1" t="s">
        <v>21</v>
      </c>
      <c r="C39" s="1" t="s">
        <v>22</v>
      </c>
      <c r="D39" s="1" t="s">
        <v>122</v>
      </c>
      <c r="E39" s="4">
        <v>0</v>
      </c>
      <c r="F39" s="4">
        <v>0</v>
      </c>
      <c r="G39" s="5">
        <v>0</v>
      </c>
    </row>
    <row r="40" spans="1:7" ht="15" x14ac:dyDescent="0.25">
      <c r="A40" s="1" t="s">
        <v>5</v>
      </c>
      <c r="B40" s="1" t="s">
        <v>21</v>
      </c>
      <c r="C40" s="1" t="s">
        <v>98</v>
      </c>
      <c r="D40" s="1" t="s">
        <v>123</v>
      </c>
      <c r="E40" s="4">
        <v>0</v>
      </c>
      <c r="F40" s="4">
        <v>0</v>
      </c>
      <c r="G40" s="5">
        <v>0</v>
      </c>
    </row>
    <row r="41" spans="1:7" ht="15" x14ac:dyDescent="0.25">
      <c r="A41" s="1" t="s">
        <v>5</v>
      </c>
      <c r="B41" s="1" t="s">
        <v>21</v>
      </c>
      <c r="C41" s="1" t="s">
        <v>98</v>
      </c>
      <c r="D41" s="1" t="s">
        <v>124</v>
      </c>
      <c r="E41" s="4">
        <v>0</v>
      </c>
      <c r="F41" s="4">
        <v>0</v>
      </c>
      <c r="G41" s="5">
        <v>0</v>
      </c>
    </row>
    <row r="42" spans="1:7" ht="15" x14ac:dyDescent="0.25">
      <c r="A42" s="1" t="s">
        <v>5</v>
      </c>
      <c r="B42" s="1" t="s">
        <v>16</v>
      </c>
      <c r="C42" s="1" t="s">
        <v>17</v>
      </c>
      <c r="D42" s="1" t="s">
        <v>18</v>
      </c>
      <c r="E42" s="4">
        <v>31</v>
      </c>
      <c r="F42" s="4">
        <v>10</v>
      </c>
      <c r="G42" s="5">
        <v>356.16399999999999</v>
      </c>
    </row>
    <row r="43" spans="1:7" ht="15" x14ac:dyDescent="0.25">
      <c r="A43" s="1" t="s">
        <v>5</v>
      </c>
      <c r="B43" s="1" t="s">
        <v>16</v>
      </c>
      <c r="C43" s="1" t="s">
        <v>17</v>
      </c>
      <c r="D43" s="1" t="s">
        <v>24</v>
      </c>
      <c r="E43" s="4">
        <v>250</v>
      </c>
      <c r="F43" s="4">
        <v>105</v>
      </c>
      <c r="G43" s="5">
        <v>309.61019299999998</v>
      </c>
    </row>
    <row r="44" spans="1:7" ht="15" x14ac:dyDescent="0.25">
      <c r="A44" s="1" t="s">
        <v>5</v>
      </c>
      <c r="B44" s="1" t="s">
        <v>16</v>
      </c>
      <c r="C44" s="1" t="s">
        <v>28</v>
      </c>
      <c r="D44" s="1" t="s">
        <v>29</v>
      </c>
      <c r="E44" s="4">
        <v>48</v>
      </c>
      <c r="F44" s="4">
        <v>31</v>
      </c>
      <c r="G44" s="5">
        <v>174.97499999999999</v>
      </c>
    </row>
    <row r="45" spans="1:7" ht="15" x14ac:dyDescent="0.25">
      <c r="A45" s="1" t="s">
        <v>5</v>
      </c>
      <c r="B45" s="1" t="s">
        <v>16</v>
      </c>
      <c r="C45" s="1" t="s">
        <v>17</v>
      </c>
      <c r="D45" s="1" t="s">
        <v>30</v>
      </c>
      <c r="E45" s="4">
        <v>91</v>
      </c>
      <c r="F45" s="4">
        <v>20</v>
      </c>
      <c r="G45" s="5">
        <v>173.495</v>
      </c>
    </row>
    <row r="46" spans="1:7" ht="15" x14ac:dyDescent="0.25">
      <c r="A46" s="1" t="s">
        <v>5</v>
      </c>
      <c r="B46" s="1" t="s">
        <v>16</v>
      </c>
      <c r="C46" s="1" t="s">
        <v>17</v>
      </c>
      <c r="D46" s="1" t="s">
        <v>31</v>
      </c>
      <c r="E46" s="4">
        <v>191</v>
      </c>
      <c r="F46" s="4">
        <v>72</v>
      </c>
      <c r="G46" s="5">
        <v>172.70959999999999</v>
      </c>
    </row>
    <row r="47" spans="1:7" ht="15" x14ac:dyDescent="0.25">
      <c r="A47" s="1" t="s">
        <v>5</v>
      </c>
      <c r="B47" s="1" t="s">
        <v>16</v>
      </c>
      <c r="C47" s="1" t="s">
        <v>17</v>
      </c>
      <c r="D47" s="1" t="s">
        <v>32</v>
      </c>
      <c r="E47" s="4">
        <v>60</v>
      </c>
      <c r="F47" s="4">
        <v>20</v>
      </c>
      <c r="G47" s="5">
        <v>156.43</v>
      </c>
    </row>
    <row r="48" spans="1:7" ht="15" x14ac:dyDescent="0.25">
      <c r="A48" s="1" t="s">
        <v>5</v>
      </c>
      <c r="B48" s="1" t="s">
        <v>16</v>
      </c>
      <c r="C48" s="1" t="s">
        <v>28</v>
      </c>
      <c r="D48" s="1" t="s">
        <v>43</v>
      </c>
      <c r="E48" s="4">
        <v>60</v>
      </c>
      <c r="F48" s="4">
        <v>50</v>
      </c>
      <c r="G48" s="5">
        <v>111.5421</v>
      </c>
    </row>
    <row r="49" spans="1:7" ht="15" x14ac:dyDescent="0.25">
      <c r="A49" s="1" t="s">
        <v>5</v>
      </c>
      <c r="B49" s="1" t="s">
        <v>16</v>
      </c>
      <c r="C49" s="1" t="s">
        <v>28</v>
      </c>
      <c r="D49" s="1" t="s">
        <v>45</v>
      </c>
      <c r="E49" s="4">
        <v>63</v>
      </c>
      <c r="F49" s="4">
        <v>24</v>
      </c>
      <c r="G49" s="5">
        <v>107.251</v>
      </c>
    </row>
    <row r="50" spans="1:7" ht="15" x14ac:dyDescent="0.25">
      <c r="A50" s="1" t="s">
        <v>5</v>
      </c>
      <c r="B50" s="1" t="s">
        <v>16</v>
      </c>
      <c r="C50" s="1" t="s">
        <v>17</v>
      </c>
      <c r="D50" s="1" t="s">
        <v>49</v>
      </c>
      <c r="E50" s="4">
        <v>180</v>
      </c>
      <c r="F50" s="4">
        <v>45</v>
      </c>
      <c r="G50" s="5">
        <v>104.25149999999999</v>
      </c>
    </row>
    <row r="51" spans="1:7" ht="15" x14ac:dyDescent="0.25">
      <c r="A51" s="1" t="s">
        <v>5</v>
      </c>
      <c r="B51" s="1" t="s">
        <v>16</v>
      </c>
      <c r="C51" s="1" t="s">
        <v>28</v>
      </c>
      <c r="D51" s="1" t="s">
        <v>58</v>
      </c>
      <c r="E51" s="4">
        <v>38</v>
      </c>
      <c r="F51" s="4">
        <v>21</v>
      </c>
      <c r="G51" s="5">
        <v>92.103700099999998</v>
      </c>
    </row>
    <row r="52" spans="1:7" ht="15" x14ac:dyDescent="0.25">
      <c r="A52" s="1" t="s">
        <v>5</v>
      </c>
      <c r="B52" s="1" t="s">
        <v>16</v>
      </c>
      <c r="C52" s="1" t="s">
        <v>59</v>
      </c>
      <c r="D52" s="1" t="s">
        <v>60</v>
      </c>
      <c r="E52" s="4">
        <v>107</v>
      </c>
      <c r="F52" s="4">
        <v>90</v>
      </c>
      <c r="G52" s="5">
        <v>88.827201000000002</v>
      </c>
    </row>
    <row r="53" spans="1:7" ht="15" x14ac:dyDescent="0.25">
      <c r="A53" s="1" t="s">
        <v>5</v>
      </c>
      <c r="B53" s="1" t="s">
        <v>16</v>
      </c>
      <c r="C53" s="1" t="s">
        <v>17</v>
      </c>
      <c r="D53" s="1" t="s">
        <v>65</v>
      </c>
      <c r="E53" s="4">
        <v>113</v>
      </c>
      <c r="F53" s="4">
        <v>60</v>
      </c>
      <c r="G53" s="5">
        <v>76.794499999999999</v>
      </c>
    </row>
    <row r="54" spans="1:7" ht="15" x14ac:dyDescent="0.25">
      <c r="A54" s="1" t="s">
        <v>5</v>
      </c>
      <c r="B54" s="1" t="s">
        <v>16</v>
      </c>
      <c r="C54" s="1" t="s">
        <v>28</v>
      </c>
      <c r="D54" s="1" t="s">
        <v>68</v>
      </c>
      <c r="E54" s="4">
        <v>12</v>
      </c>
      <c r="F54" s="4">
        <v>8</v>
      </c>
      <c r="G54" s="5">
        <v>76.444999999999993</v>
      </c>
    </row>
    <row r="55" spans="1:7" ht="15" x14ac:dyDescent="0.25">
      <c r="A55" s="1" t="s">
        <v>5</v>
      </c>
      <c r="B55" s="1" t="s">
        <v>16</v>
      </c>
      <c r="C55" s="1" t="s">
        <v>17</v>
      </c>
      <c r="D55" s="1" t="s">
        <v>74</v>
      </c>
      <c r="E55" s="4">
        <v>47</v>
      </c>
      <c r="F55" s="4">
        <v>35</v>
      </c>
      <c r="G55" s="5">
        <v>66.194550000000007</v>
      </c>
    </row>
    <row r="56" spans="1:7" ht="15" x14ac:dyDescent="0.25">
      <c r="A56" s="1" t="s">
        <v>5</v>
      </c>
      <c r="B56" s="1" t="s">
        <v>16</v>
      </c>
      <c r="C56" s="1" t="s">
        <v>17</v>
      </c>
      <c r="D56" s="1" t="s">
        <v>75</v>
      </c>
      <c r="E56" s="4">
        <v>22</v>
      </c>
      <c r="F56" s="4">
        <v>12</v>
      </c>
      <c r="G56" s="5">
        <v>57.53</v>
      </c>
    </row>
    <row r="57" spans="1:7" ht="15" x14ac:dyDescent="0.25">
      <c r="A57" s="1" t="s">
        <v>5</v>
      </c>
      <c r="B57" s="1" t="s">
        <v>16</v>
      </c>
      <c r="C57" s="1" t="s">
        <v>17</v>
      </c>
      <c r="D57" s="1" t="s">
        <v>91</v>
      </c>
      <c r="E57" s="4">
        <v>10</v>
      </c>
      <c r="F57" s="4">
        <v>3</v>
      </c>
      <c r="G57" s="5">
        <v>9.4</v>
      </c>
    </row>
    <row r="58" spans="1:7" ht="15" x14ac:dyDescent="0.25">
      <c r="A58" s="1" t="s">
        <v>5</v>
      </c>
      <c r="B58" s="1" t="s">
        <v>16</v>
      </c>
      <c r="C58" s="1" t="s">
        <v>17</v>
      </c>
      <c r="D58" s="1" t="s">
        <v>93</v>
      </c>
      <c r="E58" s="4">
        <v>26</v>
      </c>
      <c r="F58" s="4">
        <v>15</v>
      </c>
      <c r="G58" s="5">
        <v>8.4580000000000002</v>
      </c>
    </row>
    <row r="59" spans="1:7" ht="15" x14ac:dyDescent="0.25">
      <c r="A59" s="1" t="s">
        <v>5</v>
      </c>
      <c r="B59" s="1" t="s">
        <v>16</v>
      </c>
      <c r="C59" s="1" t="s">
        <v>28</v>
      </c>
      <c r="D59" s="1" t="s">
        <v>103</v>
      </c>
      <c r="E59" s="4">
        <v>4</v>
      </c>
      <c r="F59" s="4">
        <v>3</v>
      </c>
      <c r="G59" s="5">
        <v>1.2769999999999999</v>
      </c>
    </row>
    <row r="60" spans="1:7" ht="15" x14ac:dyDescent="0.25">
      <c r="A60" s="1" t="s">
        <v>5</v>
      </c>
      <c r="B60" s="1" t="s">
        <v>16</v>
      </c>
      <c r="C60" s="1" t="s">
        <v>28</v>
      </c>
      <c r="D60" s="1" t="s">
        <v>105</v>
      </c>
      <c r="E60" s="4">
        <v>1</v>
      </c>
      <c r="F60" s="4">
        <v>1</v>
      </c>
      <c r="G60" s="5">
        <v>0.01</v>
      </c>
    </row>
    <row r="61" spans="1:7" ht="15" x14ac:dyDescent="0.25">
      <c r="A61" s="1" t="s">
        <v>5</v>
      </c>
      <c r="B61" s="1" t="s">
        <v>16</v>
      </c>
      <c r="C61" s="1" t="s">
        <v>59</v>
      </c>
      <c r="D61" s="1" t="s">
        <v>113</v>
      </c>
      <c r="E61" s="4">
        <v>0</v>
      </c>
      <c r="F61" s="4">
        <v>0</v>
      </c>
      <c r="G61" s="5">
        <v>0</v>
      </c>
    </row>
    <row r="62" spans="1:7" ht="15" x14ac:dyDescent="0.25">
      <c r="A62" s="1" t="s">
        <v>5</v>
      </c>
      <c r="B62" s="1" t="s">
        <v>16</v>
      </c>
      <c r="C62" s="1" t="s">
        <v>17</v>
      </c>
      <c r="D62" s="1" t="s">
        <v>119</v>
      </c>
      <c r="E62" s="4">
        <v>0</v>
      </c>
      <c r="F62" s="4">
        <v>0</v>
      </c>
      <c r="G62" s="5">
        <v>0</v>
      </c>
    </row>
    <row r="63" spans="1:7" ht="15" x14ac:dyDescent="0.25">
      <c r="A63" s="1" t="s">
        <v>5</v>
      </c>
      <c r="B63" s="1" t="s">
        <v>16</v>
      </c>
      <c r="C63" s="1" t="s">
        <v>28</v>
      </c>
      <c r="D63" s="1" t="s">
        <v>120</v>
      </c>
      <c r="E63" s="4">
        <v>0</v>
      </c>
      <c r="F63" s="4">
        <v>0</v>
      </c>
      <c r="G63" s="5">
        <v>0</v>
      </c>
    </row>
    <row r="64" spans="1:7" ht="15" x14ac:dyDescent="0.25">
      <c r="A64" s="1" t="s">
        <v>5</v>
      </c>
      <c r="B64" s="1" t="s">
        <v>11</v>
      </c>
      <c r="C64" s="1" t="s">
        <v>12</v>
      </c>
      <c r="D64" s="1" t="s">
        <v>13</v>
      </c>
      <c r="E64" s="4">
        <v>15</v>
      </c>
      <c r="F64" s="4">
        <v>5</v>
      </c>
      <c r="G64" s="5">
        <v>498.113</v>
      </c>
    </row>
    <row r="65" spans="1:7" ht="15" x14ac:dyDescent="0.25">
      <c r="A65" s="1" t="s">
        <v>5</v>
      </c>
      <c r="B65" s="1" t="s">
        <v>11</v>
      </c>
      <c r="C65" s="1" t="s">
        <v>34</v>
      </c>
      <c r="D65" s="1" t="s">
        <v>35</v>
      </c>
      <c r="E65" s="4">
        <v>195</v>
      </c>
      <c r="F65" s="4">
        <v>106</v>
      </c>
      <c r="G65" s="5">
        <v>146.28149999999999</v>
      </c>
    </row>
    <row r="66" spans="1:7" ht="15" x14ac:dyDescent="0.25">
      <c r="A66" s="1" t="s">
        <v>5</v>
      </c>
      <c r="B66" s="1" t="s">
        <v>11</v>
      </c>
      <c r="C66" s="1" t="s">
        <v>34</v>
      </c>
      <c r="D66" s="1" t="s">
        <v>38</v>
      </c>
      <c r="E66" s="4">
        <v>56</v>
      </c>
      <c r="F66" s="4">
        <v>46</v>
      </c>
      <c r="G66" s="5">
        <v>136.25</v>
      </c>
    </row>
    <row r="67" spans="1:7" ht="15" x14ac:dyDescent="0.25">
      <c r="A67" s="1" t="s">
        <v>5</v>
      </c>
      <c r="B67" s="1" t="s">
        <v>11</v>
      </c>
      <c r="C67" s="1" t="s">
        <v>46</v>
      </c>
      <c r="D67" s="1" t="s">
        <v>47</v>
      </c>
      <c r="E67" s="4">
        <v>172</v>
      </c>
      <c r="F67" s="4">
        <v>33</v>
      </c>
      <c r="G67" s="5">
        <v>107.002</v>
      </c>
    </row>
    <row r="68" spans="1:7" ht="15" x14ac:dyDescent="0.25">
      <c r="A68" s="1" t="s">
        <v>5</v>
      </c>
      <c r="B68" s="1" t="s">
        <v>11</v>
      </c>
      <c r="C68" s="1" t="s">
        <v>46</v>
      </c>
      <c r="D68" s="1" t="s">
        <v>63</v>
      </c>
      <c r="E68" s="4">
        <v>103</v>
      </c>
      <c r="F68" s="4">
        <v>79</v>
      </c>
      <c r="G68" s="5">
        <v>86.557250499999995</v>
      </c>
    </row>
    <row r="69" spans="1:7" ht="15" x14ac:dyDescent="0.25">
      <c r="A69" s="1" t="s">
        <v>5</v>
      </c>
      <c r="B69" s="1" t="s">
        <v>11</v>
      </c>
      <c r="C69" s="1" t="s">
        <v>66</v>
      </c>
      <c r="D69" s="1" t="s">
        <v>67</v>
      </c>
      <c r="E69" s="4">
        <v>9</v>
      </c>
      <c r="F69" s="4">
        <v>7</v>
      </c>
      <c r="G69" s="5">
        <v>76.7</v>
      </c>
    </row>
    <row r="70" spans="1:7" ht="15" x14ac:dyDescent="0.25">
      <c r="A70" s="1" t="s">
        <v>5</v>
      </c>
      <c r="B70" s="1" t="s">
        <v>11</v>
      </c>
      <c r="C70" s="1" t="s">
        <v>71</v>
      </c>
      <c r="D70" s="1" t="s">
        <v>72</v>
      </c>
      <c r="E70" s="4">
        <v>32</v>
      </c>
      <c r="F70" s="4">
        <v>11</v>
      </c>
      <c r="G70" s="5">
        <v>67.2</v>
      </c>
    </row>
    <row r="71" spans="1:7" ht="15" x14ac:dyDescent="0.25">
      <c r="A71" s="1" t="s">
        <v>5</v>
      </c>
      <c r="B71" s="1" t="s">
        <v>11</v>
      </c>
      <c r="C71" s="1" t="s">
        <v>79</v>
      </c>
      <c r="D71" s="1" t="s">
        <v>80</v>
      </c>
      <c r="E71" s="4">
        <v>92</v>
      </c>
      <c r="F71" s="4">
        <v>18</v>
      </c>
      <c r="G71" s="5">
        <v>43.274999999999999</v>
      </c>
    </row>
    <row r="72" spans="1:7" ht="15" x14ac:dyDescent="0.25">
      <c r="A72" s="1" t="s">
        <v>5</v>
      </c>
      <c r="B72" s="1" t="s">
        <v>11</v>
      </c>
      <c r="C72" s="1" t="s">
        <v>66</v>
      </c>
      <c r="D72" s="1" t="s">
        <v>81</v>
      </c>
      <c r="E72" s="4">
        <v>46</v>
      </c>
      <c r="F72" s="4">
        <v>31</v>
      </c>
      <c r="G72" s="5">
        <v>39.017800000000001</v>
      </c>
    </row>
    <row r="73" spans="1:7" ht="15" x14ac:dyDescent="0.25">
      <c r="A73" s="1" t="s">
        <v>5</v>
      </c>
      <c r="B73" s="1" t="s">
        <v>11</v>
      </c>
      <c r="C73" s="1" t="s">
        <v>66</v>
      </c>
      <c r="D73" s="1" t="s">
        <v>82</v>
      </c>
      <c r="E73" s="4">
        <v>54</v>
      </c>
      <c r="F73" s="4">
        <v>8</v>
      </c>
      <c r="G73" s="5">
        <v>38.5</v>
      </c>
    </row>
    <row r="74" spans="1:7" ht="15" x14ac:dyDescent="0.25">
      <c r="A74" s="1" t="s">
        <v>5</v>
      </c>
      <c r="B74" s="1" t="s">
        <v>11</v>
      </c>
      <c r="C74" s="1" t="s">
        <v>12</v>
      </c>
      <c r="D74" s="1" t="s">
        <v>89</v>
      </c>
      <c r="E74" s="4">
        <v>2</v>
      </c>
      <c r="F74" s="4">
        <v>1</v>
      </c>
      <c r="G74" s="5">
        <v>21</v>
      </c>
    </row>
    <row r="75" spans="1:7" ht="15" x14ac:dyDescent="0.25">
      <c r="A75" s="1" t="s">
        <v>5</v>
      </c>
      <c r="B75" s="1" t="s">
        <v>11</v>
      </c>
      <c r="C75" s="1" t="s">
        <v>66</v>
      </c>
      <c r="D75" s="1" t="s">
        <v>92</v>
      </c>
      <c r="E75" s="4">
        <v>16</v>
      </c>
      <c r="F75" s="4">
        <v>16</v>
      </c>
      <c r="G75" s="5">
        <v>9.2962360000000004</v>
      </c>
    </row>
    <row r="76" spans="1:7" ht="15" x14ac:dyDescent="0.25">
      <c r="A76" s="1" t="s">
        <v>5</v>
      </c>
      <c r="B76" s="1" t="s">
        <v>11</v>
      </c>
      <c r="C76" s="1" t="s">
        <v>71</v>
      </c>
      <c r="D76" s="1" t="s">
        <v>94</v>
      </c>
      <c r="E76" s="4">
        <v>9</v>
      </c>
      <c r="F76" s="4">
        <v>6</v>
      </c>
      <c r="G76" s="5">
        <v>6.16</v>
      </c>
    </row>
    <row r="77" spans="1:7" ht="15" x14ac:dyDescent="0.25">
      <c r="A77" s="1" t="s">
        <v>5</v>
      </c>
      <c r="B77" s="1" t="s">
        <v>11</v>
      </c>
      <c r="C77" s="1" t="s">
        <v>71</v>
      </c>
      <c r="D77" s="1" t="s">
        <v>100</v>
      </c>
      <c r="E77" s="4">
        <v>4</v>
      </c>
      <c r="F77" s="4">
        <v>2</v>
      </c>
      <c r="G77" s="5">
        <v>4.38</v>
      </c>
    </row>
    <row r="78" spans="1:7" ht="15" x14ac:dyDescent="0.25">
      <c r="A78" s="1" t="s">
        <v>5</v>
      </c>
      <c r="B78" s="1" t="s">
        <v>11</v>
      </c>
      <c r="C78" s="1" t="s">
        <v>46</v>
      </c>
      <c r="D78" s="1" t="s">
        <v>102</v>
      </c>
      <c r="E78" s="4">
        <v>22</v>
      </c>
      <c r="F78" s="4">
        <v>5</v>
      </c>
      <c r="G78" s="5">
        <v>2.63</v>
      </c>
    </row>
    <row r="79" spans="1:7" ht="15" x14ac:dyDescent="0.25">
      <c r="A79" s="1" t="s">
        <v>5</v>
      </c>
      <c r="B79" s="1" t="s">
        <v>11</v>
      </c>
      <c r="C79" s="1" t="s">
        <v>12</v>
      </c>
      <c r="D79" s="1" t="s">
        <v>107</v>
      </c>
      <c r="E79" s="4">
        <v>0</v>
      </c>
      <c r="F79" s="4">
        <v>0</v>
      </c>
      <c r="G79" s="5">
        <v>0</v>
      </c>
    </row>
    <row r="80" spans="1:7" ht="15" x14ac:dyDescent="0.25">
      <c r="A80" s="1" t="s">
        <v>5</v>
      </c>
      <c r="B80" s="1" t="s">
        <v>11</v>
      </c>
      <c r="C80" s="1" t="s">
        <v>66</v>
      </c>
      <c r="D80" s="1" t="s">
        <v>110</v>
      </c>
      <c r="E80" s="4">
        <v>0</v>
      </c>
      <c r="F80" s="4">
        <v>0</v>
      </c>
      <c r="G80" s="5">
        <v>0</v>
      </c>
    </row>
    <row r="81" spans="1:7" ht="15" x14ac:dyDescent="0.25">
      <c r="A81" s="1" t="s">
        <v>5</v>
      </c>
      <c r="B81" s="1" t="s">
        <v>11</v>
      </c>
      <c r="C81" s="1" t="s">
        <v>46</v>
      </c>
      <c r="D81" s="1" t="s">
        <v>121</v>
      </c>
      <c r="E81" s="4">
        <v>0</v>
      </c>
      <c r="F81" s="4">
        <v>0</v>
      </c>
      <c r="G81" s="5">
        <v>0</v>
      </c>
    </row>
    <row r="82" spans="1:7" ht="15" x14ac:dyDescent="0.25">
      <c r="A82" s="1" t="s">
        <v>5</v>
      </c>
      <c r="B82" s="1" t="s">
        <v>11</v>
      </c>
      <c r="C82" s="1" t="s">
        <v>66</v>
      </c>
      <c r="D82" s="1" t="s">
        <v>130</v>
      </c>
      <c r="E82" s="4">
        <v>0</v>
      </c>
      <c r="F82" s="4">
        <v>0</v>
      </c>
      <c r="G82" s="5">
        <v>0</v>
      </c>
    </row>
    <row r="83" spans="1:7" ht="15" x14ac:dyDescent="0.25">
      <c r="A83" s="1" t="s">
        <v>5</v>
      </c>
      <c r="B83" s="1" t="s">
        <v>132</v>
      </c>
      <c r="C83" s="1" t="s">
        <v>6</v>
      </c>
      <c r="D83" s="1" t="s">
        <v>7</v>
      </c>
      <c r="E83" s="4">
        <v>476</v>
      </c>
      <c r="F83" s="4">
        <v>106</v>
      </c>
      <c r="G83" s="5">
        <v>623.48919999999998</v>
      </c>
    </row>
    <row r="84" spans="1:7" ht="15" x14ac:dyDescent="0.25">
      <c r="A84" s="1" t="s">
        <v>5</v>
      </c>
      <c r="B84" s="1" t="s">
        <v>132</v>
      </c>
      <c r="C84" s="1" t="s">
        <v>14</v>
      </c>
      <c r="D84" s="1" t="s">
        <v>15</v>
      </c>
      <c r="E84" s="4">
        <v>60</v>
      </c>
      <c r="F84" s="4">
        <v>18</v>
      </c>
      <c r="G84" s="5">
        <v>374.25</v>
      </c>
    </row>
    <row r="85" spans="1:7" ht="15" x14ac:dyDescent="0.25">
      <c r="A85" s="1" t="s">
        <v>5</v>
      </c>
      <c r="B85" s="1" t="s">
        <v>132</v>
      </c>
      <c r="C85" s="1" t="s">
        <v>19</v>
      </c>
      <c r="D85" s="1" t="s">
        <v>20</v>
      </c>
      <c r="E85" s="4">
        <v>7</v>
      </c>
      <c r="F85" s="4">
        <v>6</v>
      </c>
      <c r="G85" s="5">
        <v>349</v>
      </c>
    </row>
    <row r="86" spans="1:7" ht="15" x14ac:dyDescent="0.25">
      <c r="A86" s="1" t="s">
        <v>5</v>
      </c>
      <c r="B86" s="1" t="s">
        <v>132</v>
      </c>
      <c r="C86" s="1" t="s">
        <v>6</v>
      </c>
      <c r="D86" s="1" t="s">
        <v>48</v>
      </c>
      <c r="E86" s="4">
        <v>62</v>
      </c>
      <c r="F86" s="4">
        <v>18</v>
      </c>
      <c r="G86" s="5">
        <v>105.35</v>
      </c>
    </row>
    <row r="87" spans="1:7" ht="15" x14ac:dyDescent="0.25">
      <c r="A87" s="1" t="s">
        <v>5</v>
      </c>
      <c r="B87" s="1" t="s">
        <v>132</v>
      </c>
      <c r="C87" s="1" t="s">
        <v>52</v>
      </c>
      <c r="D87" s="1" t="s">
        <v>53</v>
      </c>
      <c r="E87" s="4">
        <v>26</v>
      </c>
      <c r="F87" s="4">
        <v>2</v>
      </c>
      <c r="G87" s="5">
        <v>100</v>
      </c>
    </row>
    <row r="88" spans="1:7" ht="15" x14ac:dyDescent="0.25">
      <c r="A88" s="1" t="s">
        <v>5</v>
      </c>
      <c r="B88" s="1" t="s">
        <v>132</v>
      </c>
      <c r="C88" s="1" t="s">
        <v>54</v>
      </c>
      <c r="D88" s="1" t="s">
        <v>55</v>
      </c>
      <c r="E88" s="4">
        <v>8</v>
      </c>
      <c r="F88" s="4">
        <v>6</v>
      </c>
      <c r="G88" s="5">
        <v>96.53</v>
      </c>
    </row>
    <row r="89" spans="1:7" ht="15" x14ac:dyDescent="0.25">
      <c r="A89" s="1" t="s">
        <v>5</v>
      </c>
      <c r="B89" s="1" t="s">
        <v>132</v>
      </c>
      <c r="C89" s="1" t="s">
        <v>61</v>
      </c>
      <c r="D89" s="1" t="s">
        <v>62</v>
      </c>
      <c r="E89" s="4">
        <v>60</v>
      </c>
      <c r="F89" s="4">
        <v>23</v>
      </c>
      <c r="G89" s="5">
        <v>87.58</v>
      </c>
    </row>
    <row r="90" spans="1:7" ht="15" x14ac:dyDescent="0.25">
      <c r="A90" s="1" t="s">
        <v>5</v>
      </c>
      <c r="B90" s="1" t="s">
        <v>132</v>
      </c>
      <c r="C90" s="1" t="s">
        <v>133</v>
      </c>
      <c r="D90" s="1" t="s">
        <v>69</v>
      </c>
      <c r="E90" s="4">
        <v>3</v>
      </c>
      <c r="F90" s="4">
        <v>1</v>
      </c>
      <c r="G90" s="5">
        <v>75</v>
      </c>
    </row>
    <row r="91" spans="1:7" ht="15" x14ac:dyDescent="0.25">
      <c r="A91" s="1" t="s">
        <v>5</v>
      </c>
      <c r="B91" s="1" t="s">
        <v>132</v>
      </c>
      <c r="C91" s="1" t="s">
        <v>6</v>
      </c>
      <c r="D91" s="1" t="s">
        <v>73</v>
      </c>
      <c r="E91" s="4">
        <v>28</v>
      </c>
      <c r="F91" s="4">
        <v>18</v>
      </c>
      <c r="G91" s="5">
        <v>66.459999999999994</v>
      </c>
    </row>
    <row r="92" spans="1:7" ht="15" x14ac:dyDescent="0.25">
      <c r="A92" s="1" t="s">
        <v>5</v>
      </c>
      <c r="B92" s="1" t="s">
        <v>132</v>
      </c>
      <c r="C92" s="1" t="s">
        <v>61</v>
      </c>
      <c r="D92" s="1" t="s">
        <v>90</v>
      </c>
      <c r="E92" s="4">
        <v>10</v>
      </c>
      <c r="F92" s="4">
        <v>7</v>
      </c>
      <c r="G92" s="5">
        <v>15.77</v>
      </c>
    </row>
    <row r="93" spans="1:7" ht="15" x14ac:dyDescent="0.25">
      <c r="A93" s="1" t="s">
        <v>5</v>
      </c>
      <c r="B93" s="1" t="s">
        <v>132</v>
      </c>
      <c r="C93" s="1" t="s">
        <v>50</v>
      </c>
      <c r="D93" s="1" t="s">
        <v>51</v>
      </c>
      <c r="E93" s="4">
        <v>53</v>
      </c>
      <c r="F93" s="4">
        <v>23</v>
      </c>
      <c r="G93" s="5">
        <v>101.57</v>
      </c>
    </row>
    <row r="94" spans="1:7" ht="15" x14ac:dyDescent="0.25">
      <c r="A94" s="1" t="s">
        <v>5</v>
      </c>
      <c r="B94" s="1" t="s">
        <v>132</v>
      </c>
      <c r="C94" s="1" t="s">
        <v>77</v>
      </c>
      <c r="D94" s="1" t="s">
        <v>78</v>
      </c>
      <c r="E94" s="4">
        <v>2</v>
      </c>
      <c r="F94" s="4">
        <v>1</v>
      </c>
      <c r="G94" s="5">
        <v>45</v>
      </c>
    </row>
    <row r="95" spans="1:7" ht="15" x14ac:dyDescent="0.25">
      <c r="A95" s="1" t="s">
        <v>5</v>
      </c>
      <c r="B95" s="1" t="s">
        <v>132</v>
      </c>
      <c r="C95" s="1" t="s">
        <v>83</v>
      </c>
      <c r="D95" s="1" t="s">
        <v>84</v>
      </c>
      <c r="E95" s="4">
        <v>70</v>
      </c>
      <c r="F95" s="4">
        <v>3</v>
      </c>
      <c r="G95" s="5">
        <v>35.6</v>
      </c>
    </row>
    <row r="96" spans="1:7" ht="15" x14ac:dyDescent="0.25">
      <c r="A96" s="1" t="s">
        <v>5</v>
      </c>
      <c r="B96" s="1" t="s">
        <v>132</v>
      </c>
      <c r="C96" s="1" t="s">
        <v>83</v>
      </c>
      <c r="D96" s="1" t="s">
        <v>85</v>
      </c>
      <c r="E96" s="4">
        <v>99</v>
      </c>
      <c r="F96" s="4">
        <v>4</v>
      </c>
      <c r="G96" s="5">
        <v>28.1</v>
      </c>
    </row>
    <row r="97" spans="4:7" ht="15" x14ac:dyDescent="0.25">
      <c r="D97" s="2" t="s">
        <v>131</v>
      </c>
      <c r="E97" s="6">
        <f>SUM(E4:E96)</f>
        <v>4557</v>
      </c>
      <c r="F97" s="6">
        <f>SUM(F4:F96)</f>
        <v>2056</v>
      </c>
      <c r="G97" s="7">
        <f>SUM(G4:G96)</f>
        <v>8133.2308036500017</v>
      </c>
    </row>
    <row r="99" spans="4:7" ht="15" x14ac:dyDescent="0.25"/>
    <row r="100" spans="4:7" ht="15" x14ac:dyDescent="0.25"/>
  </sheetData>
  <autoFilter ref="A3:G3" xr:uid="{00000000-0001-0000-0000-000000000000}">
    <sortState xmlns:xlrd2="http://schemas.microsoft.com/office/spreadsheetml/2017/richdata2" ref="A4:G98">
      <sortCondition ref="B3"/>
    </sortState>
  </autoFilter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Chaiwat Kongmanklang</cp:lastModifiedBy>
  <dcterms:modified xsi:type="dcterms:W3CDTF">2025-12-23T02:47:22Z</dcterms:modified>
</cp:coreProperties>
</file>